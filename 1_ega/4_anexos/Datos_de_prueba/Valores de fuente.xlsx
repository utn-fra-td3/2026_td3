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an\OneDrive\Documentos\2-Ingenieria Electronica\5 Año\4-Tecnicas Digitales 3\2- Proyecto\1- Datos\"/>
    </mc:Choice>
  </mc:AlternateContent>
  <xr:revisionPtr revIDLastSave="0" documentId="13_ncr:1_{8B562F48-A530-4F9D-993B-135A61664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ente Boost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K29" i="1"/>
  <c r="K28" i="1"/>
  <c r="D12" i="1"/>
  <c r="D11" i="1"/>
  <c r="D10" i="1"/>
  <c r="D9" i="1"/>
  <c r="D8" i="1"/>
  <c r="D7" i="1"/>
  <c r="D6" i="1"/>
  <c r="E24" i="1"/>
  <c r="F24" i="1" s="1"/>
  <c r="G12" i="1"/>
  <c r="G11" i="1"/>
  <c r="G10" i="1"/>
  <c r="G9" i="1"/>
  <c r="G8" i="1"/>
  <c r="G7" i="1"/>
  <c r="G6" i="1"/>
  <c r="H16" i="1"/>
  <c r="A12" i="1"/>
  <c r="B12" i="1" s="1"/>
  <c r="W12" i="1" s="1"/>
  <c r="A6" i="1"/>
  <c r="A11" i="1" s="1"/>
  <c r="B11" i="1" s="1"/>
  <c r="H11" i="1" s="1"/>
  <c r="M11" i="1" s="1"/>
  <c r="C6" i="1"/>
  <c r="C9" i="1" s="1"/>
  <c r="E7" i="1"/>
  <c r="E8" i="1"/>
  <c r="E9" i="1"/>
  <c r="E10" i="1"/>
  <c r="E11" i="1"/>
  <c r="E12" i="1"/>
  <c r="E6" i="1"/>
  <c r="D20" i="1" s="1"/>
  <c r="C10" i="1" l="1"/>
  <c r="C7" i="1"/>
  <c r="C11" i="1"/>
  <c r="I11" i="1" s="1"/>
  <c r="A7" i="1"/>
  <c r="B7" i="1" s="1"/>
  <c r="V7" i="1" s="1"/>
  <c r="C12" i="1"/>
  <c r="I12" i="1" s="1"/>
  <c r="B6" i="1"/>
  <c r="A8" i="1"/>
  <c r="B8" i="1" s="1"/>
  <c r="W8" i="1" s="1"/>
  <c r="A9" i="1"/>
  <c r="B9" i="1" s="1"/>
  <c r="V9" i="1" s="1"/>
  <c r="A10" i="1"/>
  <c r="B10" i="1" s="1"/>
  <c r="W10" i="1" s="1"/>
  <c r="H20" i="1"/>
  <c r="W11" i="1"/>
  <c r="C8" i="1"/>
  <c r="V11" i="1"/>
  <c r="V12" i="1"/>
  <c r="W6" i="1"/>
  <c r="H12" i="1"/>
  <c r="M12" i="1" s="1"/>
  <c r="W7" i="1" l="1"/>
  <c r="F6" i="1"/>
  <c r="G16" i="1"/>
  <c r="H6" i="1"/>
  <c r="V6" i="1"/>
  <c r="F11" i="1"/>
  <c r="F12" i="1"/>
  <c r="H7" i="1"/>
  <c r="M7" i="1" s="1"/>
  <c r="I7" i="1"/>
  <c r="J7" i="1" s="1"/>
  <c r="H9" i="1"/>
  <c r="M9" i="1" s="1"/>
  <c r="I6" i="1"/>
  <c r="T6" i="1" s="1"/>
  <c r="W9" i="1"/>
  <c r="H10" i="1"/>
  <c r="M10" i="1" s="1"/>
  <c r="I9" i="1"/>
  <c r="J9" i="1" s="1"/>
  <c r="I10" i="1"/>
  <c r="L10" i="1" s="1"/>
  <c r="S10" i="1" s="1"/>
  <c r="F8" i="1"/>
  <c r="V10" i="1"/>
  <c r="V8" i="1"/>
  <c r="F10" i="1"/>
  <c r="F7" i="1"/>
  <c r="F9" i="1"/>
  <c r="I8" i="1"/>
  <c r="J8" i="1" s="1"/>
  <c r="H8" i="1"/>
  <c r="M8" i="1" s="1"/>
  <c r="M6" i="1"/>
  <c r="K20" i="1"/>
  <c r="A20" i="1"/>
  <c r="I20" i="1" s="1"/>
  <c r="E20" i="1"/>
  <c r="T12" i="1"/>
  <c r="J11" i="1"/>
  <c r="T11" i="1"/>
  <c r="T7" i="1"/>
  <c r="J12" i="1"/>
  <c r="L12" i="1"/>
  <c r="S12" i="1" s="1"/>
  <c r="L11" i="1"/>
  <c r="S11" i="1" s="1"/>
  <c r="L6" i="1" l="1"/>
  <c r="S6" i="1" s="1"/>
  <c r="L7" i="1"/>
  <c r="S7" i="1" s="1"/>
  <c r="K7" i="1"/>
  <c r="N7" i="1" s="1"/>
  <c r="J6" i="1"/>
  <c r="K6" i="1" s="1"/>
  <c r="N6" i="1" s="1"/>
  <c r="U6" i="1" s="1"/>
  <c r="K11" i="1"/>
  <c r="N11" i="1" s="1"/>
  <c r="K9" i="1"/>
  <c r="N9" i="1" s="1"/>
  <c r="U9" i="1" s="1"/>
  <c r="K12" i="1"/>
  <c r="N12" i="1" s="1"/>
  <c r="U12" i="1" s="1"/>
  <c r="K8" i="1"/>
  <c r="N8" i="1" s="1"/>
  <c r="U8" i="1" s="1"/>
  <c r="T9" i="1"/>
  <c r="J10" i="1"/>
  <c r="T10" i="1"/>
  <c r="L9" i="1"/>
  <c r="S9" i="1" s="1"/>
  <c r="L8" i="1"/>
  <c r="S8" i="1" s="1"/>
  <c r="T8" i="1"/>
  <c r="J20" i="1" s="1"/>
  <c r="U7" i="1" l="1"/>
  <c r="P7" i="1"/>
  <c r="U11" i="1"/>
  <c r="P11" i="1"/>
  <c r="K10" i="1"/>
  <c r="N10" i="1" s="1"/>
  <c r="P12" i="1"/>
  <c r="P9" i="1"/>
  <c r="O6" i="1"/>
  <c r="P6" i="1"/>
  <c r="P8" i="1"/>
  <c r="O12" i="1"/>
  <c r="Q12" i="1" s="1"/>
  <c r="R12" i="1" s="1"/>
  <c r="O11" i="1"/>
  <c r="Q11" i="1" s="1"/>
  <c r="R11" i="1" s="1"/>
  <c r="O7" i="1"/>
  <c r="Q7" i="1" s="1"/>
  <c r="R7" i="1" s="1"/>
  <c r="O8" i="1"/>
  <c r="Q8" i="1" s="1"/>
  <c r="R8" i="1" s="1"/>
  <c r="O9" i="1"/>
  <c r="C24" i="1" l="1"/>
  <c r="G24" i="1" s="1"/>
  <c r="U10" i="1"/>
  <c r="I16" i="1" s="1"/>
  <c r="P10" i="1"/>
  <c r="O10" i="1"/>
  <c r="B24" i="1" s="1"/>
  <c r="A24" i="1"/>
  <c r="H24" i="1" s="1"/>
  <c r="I24" i="1" s="1"/>
  <c r="J24" i="1" s="1"/>
  <c r="Q9" i="1"/>
  <c r="R9" i="1" s="1"/>
  <c r="Q6" i="1"/>
  <c r="R6" i="1" s="1"/>
  <c r="C20" i="1"/>
  <c r="G20" i="1"/>
  <c r="Q10" i="1" l="1"/>
  <c r="R10" i="1" s="1"/>
  <c r="B20" i="1" s="1" a="1"/>
  <c r="B20" i="1" s="1"/>
  <c r="F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<sst xmlns="http://schemas.openxmlformats.org/spreadsheetml/2006/main" count="109" uniqueCount="98">
  <si>
    <t>Vin</t>
  </si>
  <si>
    <t>Vo</t>
  </si>
  <si>
    <t>Io</t>
  </si>
  <si>
    <t>Pout</t>
  </si>
  <si>
    <t>Duty</t>
  </si>
  <si>
    <t>Ilmax</t>
  </si>
  <si>
    <t>T</t>
  </si>
  <si>
    <t>T[uS]</t>
  </si>
  <si>
    <t>F [Khz]</t>
  </si>
  <si>
    <t>(1-Duty)^2*R</t>
  </si>
  <si>
    <t>RL</t>
  </si>
  <si>
    <t>L</t>
  </si>
  <si>
    <t>L [uHy]</t>
  </si>
  <si>
    <t>Ilmin</t>
  </si>
  <si>
    <t>Vi*Duty</t>
  </si>
  <si>
    <t>2*L*F</t>
  </si>
  <si>
    <t>Lminmax [uHy]</t>
  </si>
  <si>
    <t>Ilmed</t>
  </si>
  <si>
    <t>Idmed</t>
  </si>
  <si>
    <t>Req</t>
  </si>
  <si>
    <t>ΔV/Vo</t>
  </si>
  <si>
    <t>C</t>
  </si>
  <si>
    <t>Rcrit maxima</t>
  </si>
  <si>
    <t>Vtransmin</t>
  </si>
  <si>
    <t>Vdiodo min</t>
  </si>
  <si>
    <t>Rcrit min</t>
  </si>
  <si>
    <t>Diodo</t>
  </si>
  <si>
    <t>V</t>
  </si>
  <si>
    <t>Irms</t>
  </si>
  <si>
    <t>Ipico</t>
  </si>
  <si>
    <t>Transitor</t>
  </si>
  <si>
    <t>Capacitor</t>
  </si>
  <si>
    <t>Bobina</t>
  </si>
  <si>
    <t>Vomin</t>
  </si>
  <si>
    <t>Vomax</t>
  </si>
  <si>
    <t>Io [A]</t>
  </si>
  <si>
    <t>Vin max [V]</t>
  </si>
  <si>
    <t>Vin min [V]</t>
  </si>
  <si>
    <t>Riple [%]</t>
  </si>
  <si>
    <t xml:space="preserve">Lmin + % </t>
  </si>
  <si>
    <t>0000</t>
  </si>
  <si>
    <t>000</t>
  </si>
  <si>
    <t>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</si>
  <si>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</si>
  <si>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</si>
  <si>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</si>
  <si>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</si>
  <si>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</si>
  <si>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</si>
  <si>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</si>
  <si>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</si>
  <si>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</si>
  <si>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</si>
  <si>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</si>
  <si>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</si>
  <si>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</si>
  <si>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</si>
  <si>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</si>
  <si>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</si>
  <si>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</si>
  <si>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</si>
  <si>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</si>
  <si>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</si>
  <si>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</si>
  <si>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</si>
  <si>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</si>
  <si>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</si>
  <si>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</si>
  <si>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</si>
  <si>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</si>
  <si>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</si>
  <si>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</si>
  <si>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</si>
  <si>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</si>
  <si>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</si>
  <si>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</si>
  <si>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</si>
  <si>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</si>
  <si>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</si>
  <si>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</si>
  <si>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AWG</t>
  </si>
  <si>
    <t>Diameter [mm]</t>
  </si>
  <si>
    <t>Resistance [Ohms / km]</t>
  </si>
  <si>
    <t>Max Current [Amperes]</t>
  </si>
  <si>
    <t>Max Frequency [Hz]</t>
  </si>
  <si>
    <t>ΔL Ferrite</t>
  </si>
  <si>
    <t>Cable</t>
  </si>
  <si>
    <t>Iadm</t>
  </si>
  <si>
    <t>Cantidad</t>
  </si>
  <si>
    <t>N</t>
  </si>
  <si>
    <t>X</t>
  </si>
  <si>
    <t>Imax</t>
  </si>
  <si>
    <t>Lfinal</t>
  </si>
  <si>
    <t>Nred</t>
  </si>
  <si>
    <t>Frecuencia</t>
  </si>
  <si>
    <t>Ferrite 40</t>
  </si>
  <si>
    <t>Ferrite 29</t>
  </si>
  <si>
    <t>Nucleo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</si>
</sst>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000"/>
    <numFmt numFmtId="166" formatCode="0.0E+00"/>
    <numFmt numFmtId="167" formatCode="0E+00"/>
    <numFmt numFmtId="168" formatCode="_-* #,##0_-;\-* #,##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48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66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Fill="1" applyBorder="1"/>
    <xf numFmtId="2" fontId="0" fillId="0" borderId="0" xfId="0" applyNumberFormat="1" applyFont="1" applyFill="1" applyBorder="1"/>
    <xf numFmtId="166" fontId="0" fillId="5" borderId="1" xfId="0" applyNumberForma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8" fontId="0" fillId="5" borderId="1" xfId="1" applyNumberFormat="1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1" fontId="0" fillId="7" borderId="1" xfId="0" applyNumberFormat="1" applyFill="1" applyBorder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4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4" fillId="0" borderId="0" xfId="2" applyNumberFormat="1" applyFont="1" applyFill="1" applyBorder="1" applyAlignment="1">
      <alignment wrapText="1"/>
    </xf>
    <xf numFmtId="49" fontId="5" fillId="10" borderId="0" xfId="2" applyNumberFormat="1" applyFont="1" applyFill="1" applyBorder="1" applyAlignment="1">
      <alignment horizontal="center" vertical="center" wrapText="1"/>
    </xf>
    <xf numFmtId="165" fontId="5" fillId="10" borderId="0" xfId="2" applyNumberFormat="1" applyFont="1" applyFill="1" applyBorder="1" applyAlignment="1">
      <alignment horizontal="center" vertical="center" wrapText="1"/>
    </xf>
    <xf numFmtId="1" fontId="5" fillId="10" borderId="0" xfId="2" applyNumberFormat="1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/>
    </xf>
    <xf numFmtId="43" fontId="4" fillId="0" borderId="0" xfId="1" applyNumberFormat="1" applyFont="1" applyFill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6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1" fontId="0" fillId="0" borderId="0" xfId="0" applyNumberFormat="1"/>
  </cellXfs>
  <cellStyles count="3">
    <cellStyle name="Millares" xfId="1" builtinId="3"/>
    <cellStyle name="Normal" xfId="0" builtinId="0"/>
    <cellStyle name="Normal 2" xfId="2" xr:uid="{C81C1355-5999-4C21-BDCD-0A6942B2A735}"/>
  </cellStyles>
  <dxfs count="25"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E+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E+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E+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E+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-* #,##0_-;\-* #,##0_-;_-* &quot;-&quot;??_-;_-@_-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A48F"/>
      <color rgb="FFFFC1B3"/>
      <color rgb="FFFA3000"/>
      <color rgb="FFB02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3BAD25-0244-4C1B-8524-CFD4ED9DC008}" name="Tabla1" displayName="Tabla1" ref="A5:W12" totalsRowShown="0" headerRowDxfId="24" dataDxfId="23">
  <autoFilter ref="A5:W12" xr:uid="{F83BAD25-0244-4C1B-8524-CFD4ED9DC008}"/>
  <tableColumns count="23">
    <tableColumn id="1" xr3:uid="{219FE159-0EFB-4674-843F-8E28837DF9BA}" name="Vin" dataDxfId="22"/>
    <tableColumn id="2" xr3:uid="{C67EDDF0-A1AF-492E-9B9D-20812437B9A8}" name="Vo" dataDxfId="21">
      <calculatedColumnFormula>A6*2</calculatedColumnFormula>
    </tableColumn>
    <tableColumn id="3" xr3:uid="{BEF2477B-55C8-4656-AA80-E934B45C7A4A}" name="Io" dataDxfId="20"/>
    <tableColumn id="4" xr3:uid="{17C70C09-4893-4E63-94AB-C9ED272504EC}" name="F [Khz]" dataDxfId="19" dataCellStyle="Millares"/>
    <tableColumn id="5" xr3:uid="{A3023927-D494-41F6-9C84-2C0E56C4AD33}" name="T[uS]" dataDxfId="18">
      <calculatedColumnFormula>1/Tabla1[[#This Row],[F '[Khz']]]</calculatedColumnFormula>
    </tableColumn>
    <tableColumn id="6" xr3:uid="{41D7B925-3525-42DB-A727-D567E6EE0D6C}" name="Pout" dataDxfId="17">
      <calculatedColumnFormula>B6*C6</calculatedColumnFormula>
    </tableColumn>
    <tableColumn id="23" xr3:uid="{F91D5243-8114-4575-B528-6F32815DA7C3}" name="ΔV/Vo" dataDxfId="16"/>
    <tableColumn id="7" xr3:uid="{2FE1FC58-E47D-4F95-8695-DE07AB0A7CA4}" name="Duty" dataDxfId="15">
      <calculatedColumnFormula>1-(A6/B6)</calculatedColumnFormula>
    </tableColumn>
    <tableColumn id="8" xr3:uid="{BEB192EB-EB0C-4747-8A1F-23E7C1414138}" name="RL" dataDxfId="14">
      <calculatedColumnFormula>B6/C6</calculatedColumnFormula>
    </tableColumn>
    <tableColumn id="9" xr3:uid="{1D48D0FB-FAFB-45F3-A767-2D64BA006763}" name="Lminmax [uHy]" dataDxfId="13">
      <calculatedColumnFormula>0.075*(I6/D6)</calculatedColumnFormula>
    </tableColumn>
    <tableColumn id="10" xr3:uid="{7075A743-907B-492E-9FAF-FD3CEC4F8E87}" name="L [uHy]" dataDxfId="12">
      <calculatedColumnFormula>J6+J6*$E$16</calculatedColumnFormula>
    </tableColumn>
    <tableColumn id="12" xr3:uid="{CE1D8CA2-D624-4A15-9B34-BD327ADE1195}" name="(1-Duty)^2*R" dataDxfId="11">
      <calculatedColumnFormula>(POWER(1-H6,2))*I6</calculatedColumnFormula>
    </tableColumn>
    <tableColumn id="13" xr3:uid="{F8438CFE-C319-4FA3-B00D-E276676EFEFC}" name="Vi*Duty" dataDxfId="10">
      <calculatedColumnFormula>A6*H6</calculatedColumnFormula>
    </tableColumn>
    <tableColumn id="14" xr3:uid="{6F05705A-D155-4DB0-A0F5-69BDEF677668}" name="2*L*F" dataDxfId="9">
      <calculatedColumnFormula>2*Tabla1[[#This Row],[F '[Khz']]]*Tabla1[[#This Row],[L '[uHy']]]</calculatedColumnFormula>
    </tableColumn>
    <tableColumn id="15" xr3:uid="{7646905C-CFFB-4AFD-A574-A05F13111F6E}" name="Ilmax" dataDxfId="8">
      <calculatedColumnFormula>(A6/L6)+(M6/N6)</calculatedColumnFormula>
    </tableColumn>
    <tableColumn id="16" xr3:uid="{5F5C325D-27CC-4348-BF5E-A4C29F687DEE}" name="Ilmin" dataDxfId="7">
      <calculatedColumnFormula>(A6/L6)-(M6/N6)</calculatedColumnFormula>
    </tableColumn>
    <tableColumn id="17" xr3:uid="{AA53681B-9408-4C36-9423-68CC63E80634}" name="Ilmed" dataDxfId="6">
      <calculatedColumnFormula>(O6+P6)/2</calculatedColumnFormula>
    </tableColumn>
    <tableColumn id="18" xr3:uid="{79FA197B-26B4-4D21-A011-89A976F3A365}" name="Idmed" dataDxfId="5">
      <calculatedColumnFormula>(1-H6)*Q6</calculatedColumnFormula>
    </tableColumn>
    <tableColumn id="19" xr3:uid="{622BA4E4-774D-433F-BD02-98D5EFA0277F}" name="Req" dataDxfId="4">
      <calculatedColumnFormula>Tabla1[[#This Row],[(1-Duty)^2*R]]</calculatedColumnFormula>
    </tableColumn>
    <tableColumn id="20" xr3:uid="{55D1B08B-2409-490D-9710-EF003C8F1413}" name="C" dataDxfId="3">
      <calculatedColumnFormula>(H6*E6)/(G6*I6)</calculatedColumnFormula>
    </tableColumn>
    <tableColumn id="21" xr3:uid="{1824FE79-0F0B-4E80-9835-CB5467EDCFAB}" name="Rcrit maxima" dataDxfId="2">
      <calculatedColumnFormula>N6/(H6*POWER(1-H6,2))</calculatedColumnFormula>
    </tableColumn>
    <tableColumn id="22" xr3:uid="{1A685D41-BC09-4818-BFDD-B7B80C47CF33}" name="Vtransmin" dataDxfId="1">
      <calculatedColumnFormula>B6*3</calculatedColumnFormula>
    </tableColumn>
    <tableColumn id="25" xr3:uid="{466F24E1-E84A-4A0A-871D-930559937B92}" name="Vdiodo min" dataDxfId="0">
      <calculatedColumnFormula>B6*3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W31"/>
  <sheetViews>
    <sheetView tabSelected="1" workbookViewId="0">
      <selection activeCell="F30" sqref="F30"/>
    </sheetView>
  </sheetViews>
  <sheetFormatPr baseColWidth="10" defaultColWidth="9.140625" defaultRowHeight="15"/>
  <cols>
    <col min="1" max="10" width="12" customWidth="1"/>
    <col min="11" max="19" width="13" customWidth="1"/>
  </cols>
  <sheetData>
    <row r="5" spans="1:23">
      <c r="A5" s="3" t="s">
        <v>0</v>
      </c>
      <c r="B5" s="3" t="s">
        <v>1</v>
      </c>
      <c r="C5" s="3" t="s">
        <v>2</v>
      </c>
      <c r="D5" s="4" t="s">
        <v>8</v>
      </c>
      <c r="E5" s="4" t="s">
        <v>7</v>
      </c>
      <c r="F5" s="3" t="s">
        <v>3</v>
      </c>
      <c r="G5" s="3" t="s">
        <v>20</v>
      </c>
      <c r="H5" s="5" t="s">
        <v>4</v>
      </c>
      <c r="I5" s="5" t="s">
        <v>10</v>
      </c>
      <c r="J5" s="6" t="s">
        <v>16</v>
      </c>
      <c r="K5" s="5" t="s">
        <v>12</v>
      </c>
      <c r="L5" s="8" t="s">
        <v>9</v>
      </c>
      <c r="M5" s="8" t="s">
        <v>14</v>
      </c>
      <c r="N5" s="8" t="s">
        <v>15</v>
      </c>
      <c r="O5" s="9" t="s">
        <v>5</v>
      </c>
      <c r="P5" s="9" t="s">
        <v>13</v>
      </c>
      <c r="Q5" s="7" t="s">
        <v>17</v>
      </c>
      <c r="R5" s="7" t="s">
        <v>18</v>
      </c>
      <c r="S5" s="7" t="s">
        <v>19</v>
      </c>
      <c r="T5" s="7" t="s">
        <v>21</v>
      </c>
      <c r="U5" s="7" t="s">
        <v>22</v>
      </c>
      <c r="V5" s="7" t="s">
        <v>23</v>
      </c>
      <c r="W5" s="7" t="s">
        <v>24</v>
      </c>
    </row>
    <row r="6" spans="1:23">
      <c r="A6" s="10">
        <f>A16</f>
        <v>3.7</v>
      </c>
      <c r="B6" s="10">
        <f t="shared" ref="B6:B12" si="0">A6*2</f>
        <v>7.4</v>
      </c>
      <c r="C6" s="10">
        <f>C16</f>
        <v>2</v>
      </c>
      <c r="D6" s="16">
        <f>$F$16</f>
        <v>50000</v>
      </c>
      <c r="E6" s="17">
        <f>1/Tabla1[[#This Row],[F '[Khz']]]</f>
        <v>2.0000000000000002E-5</v>
      </c>
      <c r="F6" s="10">
        <f t="shared" ref="F6:F12" si="1">B6*C6</f>
        <v>14.8</v>
      </c>
      <c r="G6" s="18">
        <f>$D$16</f>
        <v>0.1</v>
      </c>
      <c r="H6" s="10">
        <f t="shared" ref="H6:H12" si="2">1-(A6/B6)</f>
        <v>0.5</v>
      </c>
      <c r="I6" s="10">
        <f t="shared" ref="I6:I12" si="3">B6/C6</f>
        <v>3.7</v>
      </c>
      <c r="J6" s="19">
        <f t="shared" ref="J6:J12" si="4">0.075*(I6/D6)</f>
        <v>5.5500000000000002E-6</v>
      </c>
      <c r="K6" s="19">
        <f t="shared" ref="K6:K12" si="5">J6+J6*$E$16</f>
        <v>3.3300000000000003E-5</v>
      </c>
      <c r="L6" s="10">
        <f t="shared" ref="L6:L12" si="6">(POWER(1-H6,2))*I6</f>
        <v>0.92500000000000004</v>
      </c>
      <c r="M6" s="20">
        <f>A6*H6</f>
        <v>1.85</v>
      </c>
      <c r="N6" s="10">
        <f>2*Tabla1[[#This Row],[F '[Khz']]]*Tabla1[[#This Row],[L '[uHy']]]</f>
        <v>3.3300000000000005</v>
      </c>
      <c r="O6" s="10">
        <f t="shared" ref="O6:O12" si="7">(A6/L6)+(M6/N6)</f>
        <v>4.5555555555555554</v>
      </c>
      <c r="P6" s="10">
        <f t="shared" ref="P6:P12" si="8">(A6/L6)-(M6/N6)</f>
        <v>3.4444444444444446</v>
      </c>
      <c r="Q6" s="10">
        <f t="shared" ref="Q6:Q12" si="9">(O6+P6)/2</f>
        <v>4</v>
      </c>
      <c r="R6" s="10">
        <f t="shared" ref="R6:R12" si="10">(1-H6)*Q6</f>
        <v>2</v>
      </c>
      <c r="S6" s="10">
        <f>Tabla1[[#This Row],[(1-Duty)^2*R]]</f>
        <v>0.92500000000000004</v>
      </c>
      <c r="T6" s="19">
        <f t="shared" ref="T6:T12" si="11">(H6*E6)/(G6*I6)</f>
        <v>2.7027027027027027E-5</v>
      </c>
      <c r="U6" s="10">
        <f t="shared" ref="U6:U12" si="12">N6/(H6*POWER(1-H6,2))</f>
        <v>26.640000000000004</v>
      </c>
      <c r="V6" s="10">
        <f t="shared" ref="V6:V12" si="13">B6*3</f>
        <v>22.200000000000003</v>
      </c>
      <c r="W6" s="10">
        <f t="shared" ref="W6:W12" si="14">B6*3</f>
        <v>22.200000000000003</v>
      </c>
    </row>
    <row r="7" spans="1:23">
      <c r="A7" s="11">
        <f>ROUND($A$6+($A$12-$A$6)*(ROW()-ROW($A$6))/(ROW($A$12)-ROW($A$6)),0)</f>
        <v>6</v>
      </c>
      <c r="B7" s="11">
        <f t="shared" si="0"/>
        <v>12</v>
      </c>
      <c r="C7" s="11">
        <f>$C$6</f>
        <v>2</v>
      </c>
      <c r="D7" s="21">
        <f t="shared" ref="D7:D12" si="15">$F$16</f>
        <v>50000</v>
      </c>
      <c r="E7" s="22">
        <f>1/Tabla1[[#This Row],[F '[Khz']]]</f>
        <v>2.0000000000000002E-5</v>
      </c>
      <c r="F7" s="11">
        <f t="shared" si="1"/>
        <v>24</v>
      </c>
      <c r="G7" s="23">
        <f t="shared" ref="G7:G12" si="16">$D$16</f>
        <v>0.1</v>
      </c>
      <c r="H7" s="12">
        <f t="shared" si="2"/>
        <v>0.5</v>
      </c>
      <c r="I7" s="12">
        <f t="shared" si="3"/>
        <v>6</v>
      </c>
      <c r="J7" s="24">
        <f t="shared" si="4"/>
        <v>9.0000000000000002E-6</v>
      </c>
      <c r="K7" s="24">
        <f t="shared" si="5"/>
        <v>5.4000000000000005E-5</v>
      </c>
      <c r="L7" s="12">
        <f t="shared" si="6"/>
        <v>1.5</v>
      </c>
      <c r="M7" s="25">
        <f t="shared" ref="M7:M11" si="17">A7*H7</f>
        <v>3</v>
      </c>
      <c r="N7" s="26">
        <f>2*Tabla1[[#This Row],[F '[Khz']]]*Tabla1[[#This Row],[L '[uHy']]]</f>
        <v>5.4</v>
      </c>
      <c r="O7" s="12">
        <f t="shared" si="7"/>
        <v>4.5555555555555554</v>
      </c>
      <c r="P7" s="12">
        <f t="shared" si="8"/>
        <v>3.4444444444444446</v>
      </c>
      <c r="Q7" s="12">
        <f t="shared" si="9"/>
        <v>4</v>
      </c>
      <c r="R7" s="12">
        <f t="shared" si="10"/>
        <v>2</v>
      </c>
      <c r="S7" s="12">
        <f>Tabla1[[#This Row],[(1-Duty)^2*R]]</f>
        <v>1.5</v>
      </c>
      <c r="T7" s="15">
        <f t="shared" si="11"/>
        <v>1.6666666666666664E-5</v>
      </c>
      <c r="U7" s="11">
        <f t="shared" si="12"/>
        <v>43.2</v>
      </c>
      <c r="V7" s="11">
        <f t="shared" si="13"/>
        <v>36</v>
      </c>
      <c r="W7" s="11">
        <f t="shared" si="14"/>
        <v>36</v>
      </c>
    </row>
    <row r="8" spans="1:23">
      <c r="A8" s="10">
        <f t="shared" ref="A8:A11" si="18">ROUND($A$6+($A$12-$A$6)*(ROW()-ROW($A$6))/(ROW($A$12)-ROW($A$6)),0)</f>
        <v>7</v>
      </c>
      <c r="B8" s="10">
        <f t="shared" si="0"/>
        <v>14</v>
      </c>
      <c r="C8" s="10">
        <f t="shared" ref="C8:C12" si="19">$C$6</f>
        <v>2</v>
      </c>
      <c r="D8" s="16">
        <f t="shared" si="15"/>
        <v>50000</v>
      </c>
      <c r="E8" s="17">
        <f>1/Tabla1[[#This Row],[F '[Khz']]]</f>
        <v>2.0000000000000002E-5</v>
      </c>
      <c r="F8" s="10">
        <f t="shared" si="1"/>
        <v>28</v>
      </c>
      <c r="G8" s="18">
        <f t="shared" si="16"/>
        <v>0.1</v>
      </c>
      <c r="H8" s="10">
        <f t="shared" si="2"/>
        <v>0.5</v>
      </c>
      <c r="I8" s="10">
        <f t="shared" si="3"/>
        <v>7</v>
      </c>
      <c r="J8" s="19">
        <f t="shared" si="4"/>
        <v>1.0499999999999999E-5</v>
      </c>
      <c r="K8" s="19">
        <f t="shared" si="5"/>
        <v>6.3E-5</v>
      </c>
      <c r="L8" s="10">
        <f t="shared" si="6"/>
        <v>1.75</v>
      </c>
      <c r="M8" s="20">
        <f t="shared" si="17"/>
        <v>3.5</v>
      </c>
      <c r="N8" s="10">
        <f>2*Tabla1[[#This Row],[F '[Khz']]]*Tabla1[[#This Row],[L '[uHy']]]</f>
        <v>6.3</v>
      </c>
      <c r="O8" s="10">
        <f t="shared" si="7"/>
        <v>4.5555555555555554</v>
      </c>
      <c r="P8" s="10">
        <f t="shared" si="8"/>
        <v>3.4444444444444446</v>
      </c>
      <c r="Q8" s="10">
        <f t="shared" si="9"/>
        <v>4</v>
      </c>
      <c r="R8" s="10">
        <f t="shared" si="10"/>
        <v>2</v>
      </c>
      <c r="S8" s="10">
        <f>Tabla1[[#This Row],[(1-Duty)^2*R]]</f>
        <v>1.75</v>
      </c>
      <c r="T8" s="19">
        <f t="shared" si="11"/>
        <v>1.4285714285714285E-5</v>
      </c>
      <c r="U8" s="10">
        <f t="shared" si="12"/>
        <v>50.4</v>
      </c>
      <c r="V8" s="10">
        <f t="shared" si="13"/>
        <v>42</v>
      </c>
      <c r="W8" s="10">
        <f t="shared" si="14"/>
        <v>42</v>
      </c>
    </row>
    <row r="9" spans="1:23">
      <c r="A9" s="11">
        <f t="shared" si="18"/>
        <v>9</v>
      </c>
      <c r="B9" s="11">
        <f t="shared" si="0"/>
        <v>18</v>
      </c>
      <c r="C9" s="11">
        <f t="shared" si="19"/>
        <v>2</v>
      </c>
      <c r="D9" s="21">
        <f t="shared" si="15"/>
        <v>50000</v>
      </c>
      <c r="E9" s="22">
        <f>1/Tabla1[[#This Row],[F '[Khz']]]</f>
        <v>2.0000000000000002E-5</v>
      </c>
      <c r="F9" s="11">
        <f t="shared" si="1"/>
        <v>36</v>
      </c>
      <c r="G9" s="23">
        <f t="shared" si="16"/>
        <v>0.1</v>
      </c>
      <c r="H9" s="12">
        <f t="shared" si="2"/>
        <v>0.5</v>
      </c>
      <c r="I9" s="12">
        <f t="shared" si="3"/>
        <v>9</v>
      </c>
      <c r="J9" s="24">
        <f t="shared" si="4"/>
        <v>1.3500000000000001E-5</v>
      </c>
      <c r="K9" s="24">
        <f t="shared" si="5"/>
        <v>8.1000000000000004E-5</v>
      </c>
      <c r="L9" s="12">
        <f t="shared" si="6"/>
        <v>2.25</v>
      </c>
      <c r="M9" s="25">
        <f t="shared" si="17"/>
        <v>4.5</v>
      </c>
      <c r="N9" s="26">
        <f>2*Tabla1[[#This Row],[F '[Khz']]]*Tabla1[[#This Row],[L '[uHy']]]</f>
        <v>8.1</v>
      </c>
      <c r="O9" s="12">
        <f t="shared" si="7"/>
        <v>4.5555555555555554</v>
      </c>
      <c r="P9" s="12">
        <f t="shared" si="8"/>
        <v>3.4444444444444446</v>
      </c>
      <c r="Q9" s="12">
        <f t="shared" si="9"/>
        <v>4</v>
      </c>
      <c r="R9" s="12">
        <f t="shared" si="10"/>
        <v>2</v>
      </c>
      <c r="S9" s="12">
        <f>Tabla1[[#This Row],[(1-Duty)^2*R]]</f>
        <v>2.25</v>
      </c>
      <c r="T9" s="15">
        <f t="shared" si="11"/>
        <v>1.1111111111111112E-5</v>
      </c>
      <c r="U9" s="11">
        <f t="shared" si="12"/>
        <v>64.8</v>
      </c>
      <c r="V9" s="11">
        <f t="shared" si="13"/>
        <v>54</v>
      </c>
      <c r="W9" s="11">
        <f t="shared" si="14"/>
        <v>54</v>
      </c>
    </row>
    <row r="10" spans="1:23">
      <c r="A10" s="10">
        <f t="shared" si="18"/>
        <v>11</v>
      </c>
      <c r="B10" s="10">
        <f t="shared" si="0"/>
        <v>22</v>
      </c>
      <c r="C10" s="10">
        <f t="shared" si="19"/>
        <v>2</v>
      </c>
      <c r="D10" s="16">
        <f t="shared" si="15"/>
        <v>50000</v>
      </c>
      <c r="E10" s="17">
        <f>1/Tabla1[[#This Row],[F '[Khz']]]</f>
        <v>2.0000000000000002E-5</v>
      </c>
      <c r="F10" s="10">
        <f t="shared" si="1"/>
        <v>44</v>
      </c>
      <c r="G10" s="18">
        <f t="shared" si="16"/>
        <v>0.1</v>
      </c>
      <c r="H10" s="10">
        <f t="shared" si="2"/>
        <v>0.5</v>
      </c>
      <c r="I10" s="10">
        <f t="shared" si="3"/>
        <v>11</v>
      </c>
      <c r="J10" s="19">
        <f t="shared" si="4"/>
        <v>1.6500000000000001E-5</v>
      </c>
      <c r="K10" s="19">
        <f t="shared" si="5"/>
        <v>9.8999999999999994E-5</v>
      </c>
      <c r="L10" s="10">
        <f t="shared" si="6"/>
        <v>2.75</v>
      </c>
      <c r="M10" s="20">
        <f t="shared" si="17"/>
        <v>5.5</v>
      </c>
      <c r="N10" s="10">
        <f>2*Tabla1[[#This Row],[F '[Khz']]]*Tabla1[[#This Row],[L '[uHy']]]</f>
        <v>9.8999999999999986</v>
      </c>
      <c r="O10" s="10">
        <f t="shared" si="7"/>
        <v>4.5555555555555554</v>
      </c>
      <c r="P10" s="10">
        <f t="shared" si="8"/>
        <v>3.4444444444444446</v>
      </c>
      <c r="Q10" s="10">
        <f t="shared" si="9"/>
        <v>4</v>
      </c>
      <c r="R10" s="10">
        <f t="shared" si="10"/>
        <v>2</v>
      </c>
      <c r="S10" s="10">
        <f>Tabla1[[#This Row],[(1-Duty)^2*R]]</f>
        <v>2.75</v>
      </c>
      <c r="T10" s="19">
        <f t="shared" si="11"/>
        <v>9.090909090909091E-6</v>
      </c>
      <c r="U10" s="10">
        <f t="shared" si="12"/>
        <v>79.199999999999989</v>
      </c>
      <c r="V10" s="10">
        <f t="shared" si="13"/>
        <v>66</v>
      </c>
      <c r="W10" s="10">
        <f t="shared" si="14"/>
        <v>66</v>
      </c>
    </row>
    <row r="11" spans="1:23">
      <c r="A11" s="11">
        <f t="shared" si="18"/>
        <v>13</v>
      </c>
      <c r="B11" s="11">
        <f t="shared" si="0"/>
        <v>26</v>
      </c>
      <c r="C11" s="11">
        <f t="shared" si="19"/>
        <v>2</v>
      </c>
      <c r="D11" s="21">
        <f t="shared" si="15"/>
        <v>50000</v>
      </c>
      <c r="E11" s="22">
        <f>1/Tabla1[[#This Row],[F '[Khz']]]</f>
        <v>2.0000000000000002E-5</v>
      </c>
      <c r="F11" s="11">
        <f t="shared" si="1"/>
        <v>52</v>
      </c>
      <c r="G11" s="23">
        <f t="shared" si="16"/>
        <v>0.1</v>
      </c>
      <c r="H11" s="12">
        <f t="shared" si="2"/>
        <v>0.5</v>
      </c>
      <c r="I11" s="12">
        <f t="shared" si="3"/>
        <v>13</v>
      </c>
      <c r="J11" s="24">
        <f t="shared" si="4"/>
        <v>1.9499999999999996E-5</v>
      </c>
      <c r="K11" s="24">
        <f t="shared" si="5"/>
        <v>1.1699999999999998E-4</v>
      </c>
      <c r="L11" s="12">
        <f t="shared" si="6"/>
        <v>3.25</v>
      </c>
      <c r="M11" s="25">
        <f t="shared" si="17"/>
        <v>6.5</v>
      </c>
      <c r="N11" s="26">
        <f>2*Tabla1[[#This Row],[F '[Khz']]]*Tabla1[[#This Row],[L '[uHy']]]</f>
        <v>11.7</v>
      </c>
      <c r="O11" s="12">
        <f t="shared" si="7"/>
        <v>4.5555555555555554</v>
      </c>
      <c r="P11" s="12">
        <f t="shared" si="8"/>
        <v>3.4444444444444446</v>
      </c>
      <c r="Q11" s="12">
        <f t="shared" si="9"/>
        <v>4</v>
      </c>
      <c r="R11" s="12">
        <f t="shared" si="10"/>
        <v>2</v>
      </c>
      <c r="S11" s="12">
        <f>Tabla1[[#This Row],[(1-Duty)^2*R]]</f>
        <v>3.25</v>
      </c>
      <c r="T11" s="15">
        <f t="shared" si="11"/>
        <v>7.6923076923076919E-6</v>
      </c>
      <c r="U11" s="11">
        <f t="shared" si="12"/>
        <v>93.6</v>
      </c>
      <c r="V11" s="11">
        <f t="shared" si="13"/>
        <v>78</v>
      </c>
      <c r="W11" s="11">
        <f t="shared" si="14"/>
        <v>78</v>
      </c>
    </row>
    <row r="12" spans="1:23">
      <c r="A12" s="10">
        <f>B16</f>
        <v>15</v>
      </c>
      <c r="B12" s="10">
        <f t="shared" si="0"/>
        <v>30</v>
      </c>
      <c r="C12" s="10">
        <f t="shared" si="19"/>
        <v>2</v>
      </c>
      <c r="D12" s="16">
        <f t="shared" si="15"/>
        <v>50000</v>
      </c>
      <c r="E12" s="17">
        <f>1/Tabla1[[#This Row],[F '[Khz']]]</f>
        <v>2.0000000000000002E-5</v>
      </c>
      <c r="F12" s="10">
        <f t="shared" si="1"/>
        <v>60</v>
      </c>
      <c r="G12" s="18">
        <f t="shared" si="16"/>
        <v>0.1</v>
      </c>
      <c r="H12" s="10">
        <f t="shared" si="2"/>
        <v>0.5</v>
      </c>
      <c r="I12" s="10">
        <f t="shared" si="3"/>
        <v>15</v>
      </c>
      <c r="J12" s="19">
        <f t="shared" si="4"/>
        <v>2.2499999999999998E-5</v>
      </c>
      <c r="K12" s="19">
        <f t="shared" si="5"/>
        <v>1.35E-4</v>
      </c>
      <c r="L12" s="10">
        <f t="shared" si="6"/>
        <v>3.75</v>
      </c>
      <c r="M12" s="20">
        <f>A12*H12</f>
        <v>7.5</v>
      </c>
      <c r="N12" s="10">
        <f>2*Tabla1[[#This Row],[F '[Khz']]]*Tabla1[[#This Row],[L '[uHy']]]</f>
        <v>13.5</v>
      </c>
      <c r="O12" s="10">
        <f t="shared" si="7"/>
        <v>4.5555555555555554</v>
      </c>
      <c r="P12" s="10">
        <f t="shared" si="8"/>
        <v>3.4444444444444446</v>
      </c>
      <c r="Q12" s="10">
        <f t="shared" si="9"/>
        <v>4</v>
      </c>
      <c r="R12" s="10">
        <f t="shared" si="10"/>
        <v>2</v>
      </c>
      <c r="S12" s="10">
        <f>Tabla1[[#This Row],[(1-Duty)^2*R]]</f>
        <v>3.75</v>
      </c>
      <c r="T12" s="19">
        <f t="shared" si="11"/>
        <v>6.6666666666666675E-6</v>
      </c>
      <c r="U12" s="10">
        <f t="shared" si="12"/>
        <v>108</v>
      </c>
      <c r="V12" s="10">
        <f t="shared" si="13"/>
        <v>90</v>
      </c>
      <c r="W12" s="10">
        <f t="shared" si="14"/>
        <v>90</v>
      </c>
    </row>
    <row r="13" spans="1:23">
      <c r="F13" s="1"/>
      <c r="G13" s="1"/>
      <c r="H13" s="1"/>
      <c r="I13" s="2"/>
      <c r="J13" s="1"/>
      <c r="L13" s="2"/>
    </row>
    <row r="14" spans="1:23">
      <c r="F14" s="1"/>
      <c r="G14" s="1"/>
      <c r="H14" s="1"/>
      <c r="I14" s="2"/>
      <c r="J14" s="1"/>
      <c r="L14" s="2"/>
    </row>
    <row r="15" spans="1:23">
      <c r="A15" s="31" t="s">
        <v>37</v>
      </c>
      <c r="B15" s="31" t="s">
        <v>36</v>
      </c>
      <c r="C15" s="31" t="s">
        <v>35</v>
      </c>
      <c r="D15" s="31" t="s">
        <v>38</v>
      </c>
      <c r="E15" s="31" t="s">
        <v>39</v>
      </c>
      <c r="F15" s="31" t="s">
        <v>94</v>
      </c>
      <c r="G15" s="34" t="s">
        <v>33</v>
      </c>
      <c r="H15" s="34" t="s">
        <v>34</v>
      </c>
      <c r="I15" s="34" t="s">
        <v>25</v>
      </c>
      <c r="J15" s="46"/>
      <c r="K15" s="46"/>
      <c r="L15" s="2"/>
    </row>
    <row r="16" spans="1:23">
      <c r="A16" s="31">
        <v>3.7</v>
      </c>
      <c r="B16" s="31">
        <v>15</v>
      </c>
      <c r="C16" s="32">
        <v>2</v>
      </c>
      <c r="D16" s="36">
        <v>0.1</v>
      </c>
      <c r="E16" s="36">
        <v>5</v>
      </c>
      <c r="F16" s="47">
        <v>50000</v>
      </c>
      <c r="G16" s="35">
        <f>B6</f>
        <v>7.4</v>
      </c>
      <c r="H16" s="35">
        <f>B12</f>
        <v>30</v>
      </c>
      <c r="I16" s="34">
        <f>MIN(Tabla1[Rcrit maxima])</f>
        <v>26.640000000000004</v>
      </c>
      <c r="J16" s="46"/>
      <c r="K16" s="46"/>
    </row>
    <row r="17" spans="1:11">
      <c r="A17" s="46"/>
      <c r="B17" s="46"/>
      <c r="C17" s="46"/>
      <c r="D17" s="46"/>
      <c r="E17" s="43"/>
      <c r="F17" s="44"/>
      <c r="G17" s="44"/>
      <c r="H17" s="43"/>
      <c r="I17" s="43"/>
      <c r="J17" s="43"/>
      <c r="K17" s="46"/>
    </row>
    <row r="18" spans="1:11">
      <c r="A18" s="58" t="s">
        <v>26</v>
      </c>
      <c r="B18" s="59"/>
      <c r="C18" s="59"/>
      <c r="D18" s="60"/>
      <c r="E18" s="61" t="s">
        <v>30</v>
      </c>
      <c r="F18" s="62"/>
      <c r="G18" s="62"/>
      <c r="H18" s="63"/>
      <c r="I18" s="64" t="s">
        <v>31</v>
      </c>
      <c r="J18" s="64"/>
      <c r="K18" s="64"/>
    </row>
    <row r="19" spans="1:11">
      <c r="A19" s="48" t="s">
        <v>27</v>
      </c>
      <c r="B19" s="48" t="s">
        <v>28</v>
      </c>
      <c r="C19" s="48" t="s">
        <v>29</v>
      </c>
      <c r="D19" s="48" t="s">
        <v>6</v>
      </c>
      <c r="E19" s="49" t="s">
        <v>27</v>
      </c>
      <c r="F19" s="49" t="s">
        <v>28</v>
      </c>
      <c r="G19" s="49" t="s">
        <v>29</v>
      </c>
      <c r="H19" s="49" t="s">
        <v>6</v>
      </c>
      <c r="I19" s="27" t="s">
        <v>27</v>
      </c>
      <c r="J19" s="27" t="s">
        <v>21</v>
      </c>
      <c r="K19" s="27" t="s">
        <v>28</v>
      </c>
    </row>
    <row r="20" spans="1:11">
      <c r="A20" s="50">
        <f>MAX(Tabla1[Vdiodo min])</f>
        <v>90</v>
      </c>
      <c r="B20" s="50" cm="1">
        <f t="array" ref="B20">MAX(Tabla1[Idmed]*SQRT(1-H6))</f>
        <v>1.4142135623730951</v>
      </c>
      <c r="C20" s="50">
        <f>MAX(Tabla1[Ilmax])</f>
        <v>4.5555555555555554</v>
      </c>
      <c r="D20" s="41" t="str">
        <f>TEXT(E6,"##0,00E+00")</f>
        <v>20,00E-06</v>
      </c>
      <c r="E20" s="51">
        <f>MAX(Tabla1[Vdiodo min])</f>
        <v>90</v>
      </c>
      <c r="F20" s="51">
        <f>B20</f>
        <v>1.4142135623730951</v>
      </c>
      <c r="G20" s="51">
        <f>MAX(Tabla1[Ilmax])</f>
        <v>4.5555555555555554</v>
      </c>
      <c r="H20" s="52" t="str">
        <f>D20</f>
        <v>20,00E-06</v>
      </c>
      <c r="I20" s="28">
        <f>A20</f>
        <v>90</v>
      </c>
      <c r="J20" s="29" t="str">
        <f>TEXT(MAX(Tabla1[C]),"##0,00E+00")</f>
        <v>27,03E-06</v>
      </c>
      <c r="K20" s="27">
        <f>C16*SQRT(H6/(1-H6))</f>
        <v>2</v>
      </c>
    </row>
    <row r="21" spans="1:11">
      <c r="A21" s="46"/>
      <c r="B21" s="46"/>
      <c r="C21" s="46"/>
      <c r="D21" s="46"/>
      <c r="E21" s="43"/>
      <c r="F21" s="53"/>
      <c r="G21" s="53"/>
      <c r="H21" s="43"/>
      <c r="I21" s="43"/>
      <c r="J21" s="43"/>
      <c r="K21" s="46"/>
    </row>
    <row r="22" spans="1:11">
      <c r="A22" s="55" t="s">
        <v>32</v>
      </c>
      <c r="B22" s="56"/>
      <c r="C22" s="56"/>
      <c r="D22" s="56"/>
      <c r="E22" s="56"/>
      <c r="F22" s="56"/>
      <c r="G22" s="56"/>
      <c r="H22" s="56"/>
      <c r="I22" s="56"/>
      <c r="J22" s="57"/>
      <c r="K22" s="43"/>
    </row>
    <row r="23" spans="1:11">
      <c r="A23" s="20" t="s">
        <v>11</v>
      </c>
      <c r="B23" s="20" t="s">
        <v>91</v>
      </c>
      <c r="C23" s="20" t="s">
        <v>28</v>
      </c>
      <c r="D23" s="45" t="s">
        <v>85</v>
      </c>
      <c r="E23" s="20" t="s">
        <v>86</v>
      </c>
      <c r="F23" s="20" t="s">
        <v>87</v>
      </c>
      <c r="G23" s="20" t="s">
        <v>88</v>
      </c>
      <c r="H23" s="20" t="s">
        <v>89</v>
      </c>
      <c r="I23" s="20" t="s">
        <v>93</v>
      </c>
      <c r="J23" s="20" t="s">
        <v>92</v>
      </c>
      <c r="K23" s="43"/>
    </row>
    <row r="24" spans="1:11">
      <c r="A24" s="30" t="str">
        <f>TEXT(MAX(Tabla1[L '[uHy']]),"##0,00E+00")</f>
        <v>135,00E-06</v>
      </c>
      <c r="B24" s="10">
        <f>ROUND(MAX(Tabla1[Ilmax]),1)</f>
        <v>4.5999999999999996</v>
      </c>
      <c r="C24" s="33">
        <f>SQRT(H6*(POWER(P6,2)+P6*O6+POWER(O6,2))/3)</f>
        <v>2.837506005142211</v>
      </c>
      <c r="D24" s="54">
        <f>K29</f>
        <v>2.4635416666666665E-7</v>
      </c>
      <c r="E24" s="10">
        <f>_xlfn.XLOOKUP(D6,Hoja2!E2:E46,Hoja2!B2:B46,0,-1,1)</f>
        <v>0.60001000000000004</v>
      </c>
      <c r="F24" s="20">
        <f>_xlfn.XLOOKUP('Fuente Boost'!E24,Hoja2!B2:B42,Hoja2!D2:D42,0,0,1)</f>
        <v>0.8</v>
      </c>
      <c r="G24" s="20">
        <f>ROUNDUP((C24/F24),0)</f>
        <v>4</v>
      </c>
      <c r="H24" s="10">
        <f>SQRT(A24/D24)</f>
        <v>23.409219195444784</v>
      </c>
      <c r="I24" s="10">
        <f>ROUNDUP(H24,0)</f>
        <v>24</v>
      </c>
      <c r="J24" s="30" t="str">
        <f>TEXT(D24*POWER(ROUNDUP(I24,0),2),"##0,00E+00")</f>
        <v>141,90E-06</v>
      </c>
      <c r="K24" s="43"/>
    </row>
    <row r="25" spans="1:11">
      <c r="E25" s="13"/>
      <c r="F25" s="14"/>
      <c r="G25" s="14"/>
      <c r="H25" s="13"/>
      <c r="I25" s="13"/>
      <c r="J25" s="13"/>
    </row>
    <row r="26" spans="1:11">
      <c r="I26" s="13"/>
      <c r="J26" s="13"/>
    </row>
    <row r="27" spans="1:11">
      <c r="H27" s="45" t="s">
        <v>12</v>
      </c>
      <c r="I27" s="45" t="s">
        <v>89</v>
      </c>
      <c r="J27" s="45" t="s">
        <v>97</v>
      </c>
      <c r="K27" s="45" t="s">
        <v>85</v>
      </c>
    </row>
    <row r="28" spans="1:11">
      <c r="F28" s="13"/>
      <c r="G28" s="13"/>
      <c r="H28" s="13">
        <v>34.549999999999997</v>
      </c>
      <c r="I28" s="13">
        <v>20</v>
      </c>
      <c r="J28" t="s">
        <v>96</v>
      </c>
      <c r="K28" s="65">
        <f>H28*POWER(10,-6)/POWER(I28,2)</f>
        <v>8.6374999999999978E-8</v>
      </c>
    </row>
    <row r="29" spans="1:11">
      <c r="E29" s="13"/>
      <c r="F29" s="13"/>
      <c r="G29" s="13"/>
      <c r="H29" s="13">
        <v>141.9</v>
      </c>
      <c r="I29" s="13">
        <v>24</v>
      </c>
      <c r="J29" s="13" t="s">
        <v>95</v>
      </c>
      <c r="K29" s="65">
        <f>H29*POWER(10,-6)/POWER(I29,2)</f>
        <v>2.4635416666666665E-7</v>
      </c>
    </row>
    <row r="30" spans="1:11">
      <c r="E30" s="13"/>
      <c r="F30" s="13"/>
      <c r="G30" s="13"/>
      <c r="H30" s="13"/>
      <c r="I30" s="13"/>
      <c r="J30" s="13"/>
    </row>
    <row r="31" spans="1:11">
      <c r="E31" s="13"/>
      <c r="F31" s="13"/>
      <c r="G31" s="13"/>
      <c r="H31" s="13"/>
      <c r="I31" s="13"/>
      <c r="J31" s="13"/>
    </row>
  </sheetData>
  <mergeCells count="4">
    <mergeCell ref="A22:J22"/>
    <mergeCell ref="A18:D18"/>
    <mergeCell ref="E18:H18"/>
    <mergeCell ref="I18:K18"/>
  </mergeCells>
  <pageMargins left="0.7" right="0.7" top="0.75" bottom="0.75" header="0.3" footer="0.3"/>
  <pageSetup paperSize="9" orientation="portrait" verticalDpi="0" r:id="rId1"/>
  <ignoredErrors>
    <ignoredError sqref="G20" formula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FD8C-993C-4AE1-913B-ED1B7D3AB494}">
  <dimension ref="A1:E46"/>
  <sheetViews>
    <sheetView workbookViewId="0">
      <selection activeCell="E2" sqref="E2"/>
    </sheetView>
  </sheetViews>
  <sheetFormatPr baseColWidth="10" defaultRowHeight="15"/>
  <cols>
    <col min="1" max="5" width="15.7109375" customWidth="1"/>
  </cols>
  <sheetData>
    <row r="1" spans="1:5" ht="45">
      <c r="A1" s="38" t="s">
        <v>80</v>
      </c>
      <c r="B1" s="39" t="s">
        <v>81</v>
      </c>
      <c r="C1" s="39" t="s">
        <v>82</v>
      </c>
      <c r="D1" s="39" t="s">
        <v>83</v>
      </c>
      <c r="E1" s="40" t="s">
        <v>84</v>
      </c>
    </row>
    <row r="2" spans="1:5">
      <c r="A2" s="37" t="s">
        <v>40</v>
      </c>
      <c r="B2" s="42">
        <v>11.683999999999999</v>
      </c>
      <c r="C2" s="42">
        <v>0.16072</v>
      </c>
      <c r="D2" s="42">
        <v>302</v>
      </c>
      <c r="E2" s="42">
        <v>125</v>
      </c>
    </row>
    <row r="3" spans="1:5">
      <c r="A3" s="37" t="s">
        <v>41</v>
      </c>
      <c r="B3" s="42">
        <v>10.403840000000001</v>
      </c>
      <c r="C3" s="42">
        <v>0.202704</v>
      </c>
      <c r="D3" s="42">
        <v>239</v>
      </c>
      <c r="E3" s="42">
        <v>160</v>
      </c>
    </row>
    <row r="4" spans="1:5">
      <c r="A4" s="37" t="s">
        <v>42</v>
      </c>
      <c r="B4" s="42">
        <v>9.2659199999999995</v>
      </c>
      <c r="C4" s="42">
        <v>0.25551200000000002</v>
      </c>
      <c r="D4" s="42">
        <v>190</v>
      </c>
      <c r="E4" s="42">
        <v>200</v>
      </c>
    </row>
    <row r="5" spans="1:5">
      <c r="A5" s="37" t="s">
        <v>43</v>
      </c>
      <c r="B5" s="42">
        <v>8.2524599999999992</v>
      </c>
      <c r="C5" s="42">
        <v>0.32242399999999999</v>
      </c>
      <c r="D5" s="42">
        <v>150</v>
      </c>
      <c r="E5" s="42">
        <v>250</v>
      </c>
    </row>
    <row r="6" spans="1:5">
      <c r="A6" s="37" t="s">
        <v>44</v>
      </c>
      <c r="B6" s="42">
        <v>7.3482200000000004</v>
      </c>
      <c r="C6" s="42">
        <v>0.40639199999999998</v>
      </c>
      <c r="D6" s="42">
        <v>119</v>
      </c>
      <c r="E6" s="42">
        <v>325</v>
      </c>
    </row>
    <row r="7" spans="1:5">
      <c r="A7" s="37" t="s">
        <v>45</v>
      </c>
      <c r="B7" s="42">
        <v>6.5430400000000004</v>
      </c>
      <c r="C7" s="42">
        <v>0.51266400000000001</v>
      </c>
      <c r="D7" s="42">
        <v>94</v>
      </c>
      <c r="E7" s="42">
        <v>410</v>
      </c>
    </row>
    <row r="8" spans="1:5">
      <c r="A8" s="37" t="s">
        <v>46</v>
      </c>
      <c r="B8" s="42">
        <v>5.8267600000000002</v>
      </c>
      <c r="C8" s="42">
        <v>0.64615999999999996</v>
      </c>
      <c r="D8" s="42">
        <v>75</v>
      </c>
      <c r="E8" s="42">
        <v>500</v>
      </c>
    </row>
    <row r="9" spans="1:5">
      <c r="A9" s="37" t="s">
        <v>47</v>
      </c>
      <c r="B9" s="42">
        <v>5.1892199999999997</v>
      </c>
      <c r="C9" s="42">
        <v>0.81508000000000003</v>
      </c>
      <c r="D9" s="42">
        <v>60</v>
      </c>
      <c r="E9" s="42">
        <v>650</v>
      </c>
    </row>
    <row r="10" spans="1:5">
      <c r="A10" s="37" t="s">
        <v>48</v>
      </c>
      <c r="B10" s="42">
        <v>4.62026</v>
      </c>
      <c r="C10" s="42">
        <v>1.0276240000000001</v>
      </c>
      <c r="D10" s="42">
        <v>47</v>
      </c>
      <c r="E10" s="42">
        <v>810</v>
      </c>
    </row>
    <row r="11" spans="1:5">
      <c r="A11" s="37" t="s">
        <v>49</v>
      </c>
      <c r="B11" s="42">
        <v>4.1147999999999998</v>
      </c>
      <c r="C11" s="42">
        <v>1.295928</v>
      </c>
      <c r="D11" s="42">
        <v>37</v>
      </c>
      <c r="E11" s="42">
        <v>1100</v>
      </c>
    </row>
    <row r="12" spans="1:5">
      <c r="A12" s="37" t="s">
        <v>50</v>
      </c>
      <c r="B12" s="42">
        <v>3.6652200000000001</v>
      </c>
      <c r="C12" s="42">
        <v>1.634096</v>
      </c>
      <c r="D12" s="42">
        <v>30</v>
      </c>
      <c r="E12" s="42">
        <v>1300</v>
      </c>
    </row>
    <row r="13" spans="1:5">
      <c r="A13" s="37" t="s">
        <v>51</v>
      </c>
      <c r="B13" s="42">
        <v>3.2639</v>
      </c>
      <c r="C13" s="42">
        <v>2.0604960000000001</v>
      </c>
      <c r="D13" s="42">
        <v>24</v>
      </c>
      <c r="E13" s="42">
        <v>1650</v>
      </c>
    </row>
    <row r="14" spans="1:5">
      <c r="A14" s="37" t="s">
        <v>52</v>
      </c>
      <c r="B14" s="42">
        <v>2.9057599999999999</v>
      </c>
      <c r="C14" s="42">
        <v>2.5980880000000002</v>
      </c>
      <c r="D14" s="42">
        <v>19</v>
      </c>
      <c r="E14" s="42">
        <v>2050</v>
      </c>
    </row>
    <row r="15" spans="1:5">
      <c r="A15" s="37" t="s">
        <v>53</v>
      </c>
      <c r="B15" s="42">
        <v>2.58826</v>
      </c>
      <c r="C15" s="42">
        <v>3.276392</v>
      </c>
      <c r="D15" s="42">
        <v>15</v>
      </c>
      <c r="E15" s="42">
        <v>2600</v>
      </c>
    </row>
    <row r="16" spans="1:5">
      <c r="A16" s="37" t="s">
        <v>54</v>
      </c>
      <c r="B16" s="42">
        <v>2.3037800000000002</v>
      </c>
      <c r="C16" s="42">
        <v>4.1327999999999996</v>
      </c>
      <c r="D16" s="42">
        <v>12</v>
      </c>
      <c r="E16" s="42">
        <v>3200</v>
      </c>
    </row>
    <row r="17" spans="1:5">
      <c r="A17" s="37" t="s">
        <v>55</v>
      </c>
      <c r="B17" s="42">
        <v>2.0523199999999999</v>
      </c>
      <c r="C17" s="42">
        <v>5.2086399999999999</v>
      </c>
      <c r="D17" s="42">
        <v>9.3000000000000007</v>
      </c>
      <c r="E17" s="42">
        <v>4150</v>
      </c>
    </row>
    <row r="18" spans="1:5">
      <c r="A18" s="37" t="s">
        <v>56</v>
      </c>
      <c r="B18" s="42">
        <v>1.8288</v>
      </c>
      <c r="C18" s="42">
        <v>6.5698400000000001</v>
      </c>
      <c r="D18" s="42">
        <v>7.4</v>
      </c>
      <c r="E18" s="42">
        <v>5300</v>
      </c>
    </row>
    <row r="19" spans="1:5">
      <c r="A19" s="37" t="s">
        <v>57</v>
      </c>
      <c r="B19" s="42">
        <v>1.6281399999999999</v>
      </c>
      <c r="C19" s="42">
        <v>8.282</v>
      </c>
      <c r="D19" s="42">
        <v>5.9</v>
      </c>
      <c r="E19" s="42">
        <v>6700</v>
      </c>
    </row>
    <row r="20" spans="1:5">
      <c r="A20" s="37" t="s">
        <v>58</v>
      </c>
      <c r="B20" s="42">
        <v>1.45034</v>
      </c>
      <c r="C20" s="42">
        <v>10.443519999999999</v>
      </c>
      <c r="D20" s="42">
        <v>4.7</v>
      </c>
      <c r="E20" s="42">
        <v>8250</v>
      </c>
    </row>
    <row r="21" spans="1:5">
      <c r="A21" s="37" t="s">
        <v>59</v>
      </c>
      <c r="B21" s="42">
        <v>1.2903199999999999</v>
      </c>
      <c r="C21" s="42">
        <v>13.17248</v>
      </c>
      <c r="D21" s="42">
        <v>3.7</v>
      </c>
      <c r="E21" s="42">
        <v>11000</v>
      </c>
    </row>
    <row r="22" spans="1:5">
      <c r="A22" s="37" t="s">
        <v>60</v>
      </c>
      <c r="B22" s="42">
        <v>1.15062</v>
      </c>
      <c r="C22" s="42">
        <v>16.609919999999999</v>
      </c>
      <c r="D22" s="42">
        <v>2.9</v>
      </c>
      <c r="E22" s="42">
        <v>13000</v>
      </c>
    </row>
    <row r="23" spans="1:5">
      <c r="A23" s="37" t="s">
        <v>61</v>
      </c>
      <c r="B23" s="42">
        <v>1.02362</v>
      </c>
      <c r="C23" s="42">
        <v>20.942799999999998</v>
      </c>
      <c r="D23" s="42">
        <v>2.2999999999999998</v>
      </c>
      <c r="E23" s="42">
        <v>17000</v>
      </c>
    </row>
    <row r="24" spans="1:5">
      <c r="A24" s="37" t="s">
        <v>62</v>
      </c>
      <c r="B24" s="42">
        <v>0.91186</v>
      </c>
      <c r="C24" s="42">
        <v>26.40728</v>
      </c>
      <c r="D24" s="42">
        <v>1.8</v>
      </c>
      <c r="E24" s="42">
        <v>21000</v>
      </c>
    </row>
    <row r="25" spans="1:5">
      <c r="A25" s="37" t="s">
        <v>63</v>
      </c>
      <c r="B25" s="42">
        <v>0.81279999999999997</v>
      </c>
      <c r="C25" s="42">
        <v>33.292000000000002</v>
      </c>
      <c r="D25" s="42">
        <v>1.5</v>
      </c>
      <c r="E25" s="42">
        <v>27000</v>
      </c>
    </row>
    <row r="26" spans="1:5">
      <c r="A26" s="37" t="s">
        <v>64</v>
      </c>
      <c r="B26" s="42">
        <v>0.72389999999999999</v>
      </c>
      <c r="C26" s="42">
        <v>41.984000000000002</v>
      </c>
      <c r="D26" s="42">
        <v>1.2</v>
      </c>
      <c r="E26" s="42">
        <v>33000</v>
      </c>
    </row>
    <row r="27" spans="1:5">
      <c r="A27" s="37" t="s">
        <v>65</v>
      </c>
      <c r="B27" s="42">
        <v>0.64515999999999996</v>
      </c>
      <c r="C27" s="42">
        <v>52.9392</v>
      </c>
      <c r="D27" s="42">
        <v>0.92</v>
      </c>
      <c r="E27" s="42">
        <v>42000</v>
      </c>
    </row>
    <row r="28" spans="1:5">
      <c r="A28" s="37" t="s">
        <v>90</v>
      </c>
      <c r="B28" s="42">
        <v>0.60001000000000004</v>
      </c>
      <c r="C28" s="42">
        <v>58.85</v>
      </c>
      <c r="D28" s="42">
        <v>0.8</v>
      </c>
      <c r="E28" s="42">
        <v>50000</v>
      </c>
    </row>
    <row r="29" spans="1:5">
      <c r="A29" s="37" t="s">
        <v>66</v>
      </c>
      <c r="B29" s="42">
        <v>0.57403999999999999</v>
      </c>
      <c r="C29" s="42">
        <v>66.780799999999999</v>
      </c>
      <c r="D29" s="42">
        <v>0.72899999999999998</v>
      </c>
      <c r="E29" s="42">
        <v>53000</v>
      </c>
    </row>
    <row r="30" spans="1:5">
      <c r="A30" s="37" t="s">
        <v>67</v>
      </c>
      <c r="B30" s="42">
        <v>0.51053999999999999</v>
      </c>
      <c r="C30" s="42">
        <v>84.197599999999994</v>
      </c>
      <c r="D30" s="42">
        <v>0.57699999999999996</v>
      </c>
      <c r="E30" s="42">
        <v>68000</v>
      </c>
    </row>
    <row r="31" spans="1:5">
      <c r="A31" s="37" t="s">
        <v>68</v>
      </c>
      <c r="B31" s="42">
        <v>0.45466000000000001</v>
      </c>
      <c r="C31" s="42">
        <v>106.17359999999999</v>
      </c>
      <c r="D31" s="42">
        <v>0.45700000000000002</v>
      </c>
      <c r="E31" s="42">
        <v>85000</v>
      </c>
    </row>
    <row r="32" spans="1:5">
      <c r="A32" s="37" t="s">
        <v>69</v>
      </c>
      <c r="B32" s="42">
        <v>0.40386</v>
      </c>
      <c r="C32" s="42">
        <v>133.85679999999999</v>
      </c>
      <c r="D32" s="42">
        <v>0.36099999999999999</v>
      </c>
      <c r="E32" s="42">
        <v>107000</v>
      </c>
    </row>
    <row r="33" spans="1:5">
      <c r="A33" s="37" t="s">
        <v>70</v>
      </c>
      <c r="B33" s="42">
        <v>0.36068</v>
      </c>
      <c r="C33" s="42">
        <v>168.82159999999999</v>
      </c>
      <c r="D33" s="42">
        <v>0.28799999999999998</v>
      </c>
      <c r="E33" s="42">
        <v>130000</v>
      </c>
    </row>
    <row r="34" spans="1:5">
      <c r="A34" s="37" t="s">
        <v>71</v>
      </c>
      <c r="B34" s="42">
        <v>0.32003999999999999</v>
      </c>
      <c r="C34" s="42">
        <v>212.87200000000001</v>
      </c>
      <c r="D34" s="42">
        <v>0.22600000000000001</v>
      </c>
      <c r="E34" s="42">
        <v>170000</v>
      </c>
    </row>
    <row r="35" spans="1:5">
      <c r="A35" s="37" t="s">
        <v>72</v>
      </c>
      <c r="B35" s="42">
        <v>0.28702</v>
      </c>
      <c r="C35" s="42">
        <v>268.4024</v>
      </c>
      <c r="D35" s="42">
        <v>0.182</v>
      </c>
      <c r="E35" s="42">
        <v>210000</v>
      </c>
    </row>
    <row r="36" spans="1:5">
      <c r="A36" s="37" t="s">
        <v>73</v>
      </c>
      <c r="B36" s="42">
        <v>0.254</v>
      </c>
      <c r="C36" s="42">
        <v>338.49599999999998</v>
      </c>
      <c r="D36" s="42">
        <v>0.14199999999999999</v>
      </c>
      <c r="E36" s="42">
        <v>270000</v>
      </c>
    </row>
    <row r="37" spans="1:5">
      <c r="A37" s="37" t="s">
        <v>74</v>
      </c>
      <c r="B37" s="42">
        <v>0.22606000000000001</v>
      </c>
      <c r="C37" s="42">
        <v>426.72800000000001</v>
      </c>
      <c r="D37" s="42">
        <v>0.113</v>
      </c>
      <c r="E37" s="42">
        <v>340000</v>
      </c>
    </row>
    <row r="38" spans="1:5">
      <c r="A38" s="37" t="s">
        <v>75</v>
      </c>
      <c r="B38" s="42">
        <v>0.20319999999999999</v>
      </c>
      <c r="C38" s="42">
        <v>538.24800000000005</v>
      </c>
      <c r="D38" s="42">
        <v>9.0999999999999998E-2</v>
      </c>
      <c r="E38" s="42">
        <v>430000</v>
      </c>
    </row>
    <row r="39" spans="1:5">
      <c r="A39" s="37" t="s">
        <v>76</v>
      </c>
      <c r="B39" s="42">
        <v>0.18034</v>
      </c>
      <c r="C39" s="42">
        <v>678.63199999999995</v>
      </c>
      <c r="D39" s="42">
        <v>7.1999999999999995E-2</v>
      </c>
      <c r="E39" s="42">
        <v>540000</v>
      </c>
    </row>
    <row r="40" spans="1:5">
      <c r="A40" s="37" t="s">
        <v>77</v>
      </c>
      <c r="B40" s="42">
        <v>0.16002</v>
      </c>
      <c r="C40" s="42">
        <v>855.75199999999995</v>
      </c>
      <c r="D40" s="42">
        <v>5.6000000000000001E-2</v>
      </c>
      <c r="E40" s="42">
        <v>690000</v>
      </c>
    </row>
    <row r="41" spans="1:5">
      <c r="A41" s="37" t="s">
        <v>78</v>
      </c>
      <c r="B41" s="42">
        <v>0.14224000000000001</v>
      </c>
      <c r="C41" s="42">
        <v>1079.1199999999999</v>
      </c>
      <c r="D41" s="42">
        <v>4.3999999999999997E-2</v>
      </c>
      <c r="E41" s="42">
        <v>870000</v>
      </c>
    </row>
    <row r="42" spans="1:5">
      <c r="A42" s="37" t="s">
        <v>79</v>
      </c>
      <c r="B42" s="42">
        <v>0.127</v>
      </c>
      <c r="C42" s="42">
        <v>1360</v>
      </c>
      <c r="D42" s="42">
        <v>3.5000000000000003E-2</v>
      </c>
      <c r="E42" s="42">
        <v>1100000</v>
      </c>
    </row>
    <row r="43" spans="1:5">
      <c r="A43" s="37"/>
      <c r="B43" s="37"/>
      <c r="C43" s="37"/>
      <c r="D43" s="37"/>
      <c r="E43" s="37"/>
    </row>
    <row r="44" spans="1:5">
      <c r="A44" s="37"/>
      <c r="B44" s="37"/>
      <c r="C44" s="37"/>
      <c r="D44" s="37"/>
      <c r="E44" s="37"/>
    </row>
    <row r="45" spans="1:5">
      <c r="A45" s="37"/>
      <c r="B45" s="37"/>
      <c r="C45" s="37"/>
      <c r="D45" s="37"/>
      <c r="E45" s="37"/>
    </row>
    <row r="46" spans="1:5">
      <c r="A46" s="37"/>
      <c r="B46" s="37"/>
      <c r="C46" s="37"/>
      <c r="D46" s="37"/>
      <c r="E46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Fuente Boost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benavidez</dc:creator>
  <cp:lastModifiedBy>brian benavidez</cp:lastModifiedBy>
  <dcterms:created xsi:type="dcterms:W3CDTF">2015-06-05T18:19:34Z</dcterms:created>
  <dcterms:modified xsi:type="dcterms:W3CDTF">2026-08-04T03:10:29Z</dcterms:modified>
</cp:coreProperties>
</file>